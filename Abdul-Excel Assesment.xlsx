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577b17a81afb7b/Data Analysis/"/>
    </mc:Choice>
  </mc:AlternateContent>
  <xr:revisionPtr revIDLastSave="4" documentId="8_{968157A9-9708-4227-B231-34A0BF6A819B}" xr6:coauthVersionLast="47" xr6:coauthVersionMax="47" xr10:uidLastSave="{FEA5DDD9-9D6D-4620-82EA-3052DC6EB5F9}"/>
  <bookViews>
    <workbookView xWindow="-108" yWindow="-108" windowWidth="23256" windowHeight="12456" xr2:uid="{FF287051-07C5-458C-8775-772B939B9A08}"/>
  </bookViews>
  <sheets>
    <sheet name="Data" sheetId="2" r:id="rId1"/>
    <sheet name="Task" sheetId="1" r:id="rId2"/>
    <sheet name="Formulas used" sheetId="3" r:id="rId3"/>
  </sheets>
  <definedNames>
    <definedName name="_xlnm._FilterDatabase" localSheetId="2" hidden="1">'Formulas used'!$A$5:$D$5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3" l="1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C31" i="3"/>
  <c r="D31" i="3"/>
  <c r="E31" i="3"/>
  <c r="A32" i="3"/>
  <c r="B32" i="3"/>
  <c r="C32" i="3"/>
  <c r="D32" i="3"/>
  <c r="E32" i="3"/>
  <c r="A33" i="3"/>
  <c r="B33" i="3"/>
  <c r="C33" i="3"/>
  <c r="D33" i="3"/>
  <c r="E33" i="3"/>
  <c r="A34" i="3"/>
  <c r="B34" i="3"/>
  <c r="C34" i="3"/>
  <c r="D34" i="3"/>
  <c r="E34" i="3"/>
  <c r="A35" i="3"/>
  <c r="B35" i="3"/>
  <c r="C35" i="3"/>
  <c r="D35" i="3"/>
  <c r="E35" i="3"/>
  <c r="A36" i="3"/>
  <c r="B36" i="3"/>
  <c r="C36" i="3"/>
  <c r="D36" i="3"/>
  <c r="E36" i="3"/>
  <c r="A37" i="3"/>
  <c r="B37" i="3"/>
  <c r="C37" i="3"/>
  <c r="D37" i="3"/>
  <c r="E37" i="3"/>
  <c r="A38" i="3"/>
  <c r="B38" i="3"/>
  <c r="C38" i="3"/>
  <c r="D38" i="3"/>
  <c r="E38" i="3"/>
  <c r="A39" i="3"/>
  <c r="B39" i="3"/>
  <c r="C39" i="3"/>
  <c r="D39" i="3"/>
  <c r="E39" i="3"/>
  <c r="A40" i="3"/>
  <c r="B40" i="3"/>
  <c r="C40" i="3"/>
  <c r="D40" i="3"/>
  <c r="E40" i="3"/>
  <c r="A41" i="3"/>
  <c r="B41" i="3"/>
  <c r="C41" i="3"/>
  <c r="D41" i="3"/>
  <c r="E41" i="3"/>
  <c r="A42" i="3"/>
  <c r="B42" i="3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D6" i="3"/>
  <c r="D7" i="3"/>
  <c r="D8" i="3"/>
  <c r="D9" i="3"/>
  <c r="D10" i="3"/>
  <c r="D11" i="3"/>
  <c r="D12" i="3"/>
  <c r="D13" i="3"/>
  <c r="D14" i="3"/>
  <c r="D15" i="3"/>
  <c r="D16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B25" i="1"/>
  <c r="B24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B13" i="1"/>
  <c r="B12" i="1"/>
  <c r="B8" i="1"/>
  <c r="B7" i="1"/>
  <c r="B6" i="1"/>
</calcChain>
</file>

<file path=xl/sharedStrings.xml><?xml version="1.0" encoding="utf-8"?>
<sst xmlns="http://schemas.openxmlformats.org/spreadsheetml/2006/main" count="234" uniqueCount="166">
  <si>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</si>
  <si>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</si>
  <si>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</si>
  <si>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</si>
  <si>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</si>
  <si>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</si>
  <si>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</si>
  <si>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</si>
  <si>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</si>
  <si>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</si>
  <si>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</si>
  <si>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</si>
  <si>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</si>
  <si>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</si>
  <si>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</si>
  <si>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</si>
  <si>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</si>
  <si>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</si>
  <si>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</si>
  <si>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</si>
  <si>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</si>
  <si>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</si>
  <si>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</si>
  <si>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</si>
  <si>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</si>
  <si>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</si>
  <si>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</si>
  <si>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</si>
  <si>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</si>
  <si>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</si>
  <si>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</si>
  <si>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</si>
  <si>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</si>
  <si>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</si>
  <si>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</si>
  <si>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</si>
  <si>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</si>
  <si>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</si>
  <si>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</si>
  <si>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</si>
  <si>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</si>
  <si>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</si>
  <si>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</si>
  <si>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</si>
  <si>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</si>
  <si>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</si>
  <si>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</si>
  <si>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</si>
  <si>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</si>
  <si>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</si>
  <si>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</si>
  <si>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</si>
  <si>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</si>
  <si>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</si>
  <si>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</si>
  <si>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</si>
  <si>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</si>
  <si>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</si>
  <si>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</si>
  <si>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</si>
  <si>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</si>
  <si>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</si>
  <si>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</si>
  <si>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</si>
  <si>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</si>
  <si>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</si>
  <si>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</si>
  <si>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</si>
  <si>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</si>
  <si>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</si>
  <si>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</si>
  <si>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</si>
  <si>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</si>
  <si>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</si>
  <si>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</si>
  <si>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</si>
  <si>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</si>
  <si>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</si>
  <si>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</si>
  <si>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</si>
  <si>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</si>
  <si>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</si>
  <si>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</si>
  <si>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</si>
  <si>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</si>
  <si>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</si>
  <si>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</si>
  <si>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</si>
  <si>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</si>
  <si>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</si>
  <si>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</si>
  <si>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</si>
  <si>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</si>
  <si>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</si>
  <si>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● Calculate the total price of all products in the dataset.</t>
  </si>
  <si>
    <t>● Determine how many products exist in the dataset.</t>
  </si>
  <si>
    <t>● Calculate the average price of the products.</t>
  </si>
  <si>
    <t>2. Minimum and Maximum Values</t>
  </si>
  <si>
    <t>● Identify the minimum price among all products.</t>
  </si>
  <si>
    <t>● Identify the maximum price among all products.</t>
  </si>
  <si>
    <t>3. Logical Function – IF</t>
  </si>
  <si>
    <t>● Create a new column named Price Range.</t>
  </si>
  <si>
    <t>● Use the IF function to categorize products based on their price:</t>
  </si>
  <si>
    <t>○ If Price ≥ $500 → classify as High Price</t>
  </si>
  <si>
    <t>○ If Price &lt; $500 → classify as Standard Price</t>
  </si>
  <si>
    <t>4. Conditional Functions – SUMIF and COUNTIF</t>
  </si>
  <si>
    <t>5. Text Formatting – LEFT, RIGHT, MID</t>
  </si>
  <si>
    <t>● Use text functions to extract information from the Product ID column.</t>
  </si>
  <si>
    <t>● Create the following new columns: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</si>
  <si>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</si>
  <si>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</si>
  <si>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</si>
  <si>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</si>
  <si>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</si>
  <si>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</si>
  <si>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8"/>
        <color theme="3"/>
        <rFont val="Kristen ITC"/>
        <family val="4"/>
      </rPr>
      <t xml:space="preserve">   </t>
    </r>
    <r>
      <rPr>
        <b/>
        <sz val="18"/>
        <color theme="3"/>
        <rFont val="Times New Roman"/>
        <family val="1"/>
      </rPr>
      <t>Tasks: Basic Data Exploration</t>
    </r>
  </si>
  <si>
    <t>Answer</t>
  </si>
  <si>
    <t>Price Range</t>
  </si>
  <si>
    <t>Check Data Sheet</t>
  </si>
  <si>
    <t>● Use the SUMIF function to calculate the total price of products in the Electronics category.</t>
  </si>
  <si>
    <t>● Use the COUNTIF function to determine the number of products with a price less than $100.</t>
  </si>
  <si>
    <t>Day</t>
  </si>
  <si>
    <t>Country code</t>
  </si>
  <si>
    <t>Month</t>
  </si>
  <si>
    <t>Calculated outputs and formula references; derived-column values are linked from Data.</t>
  </si>
  <si>
    <t>Calculated Results</t>
  </si>
  <si>
    <t>Function</t>
  </si>
  <si>
    <t>Task</t>
  </si>
  <si>
    <t>Applied formula</t>
  </si>
  <si>
    <t>Calculated result</t>
  </si>
  <si>
    <t>SUM</t>
  </si>
  <si>
    <t>Total price</t>
  </si>
  <si>
    <t>Formula: =SUM(brand_Data[Price ($)])</t>
  </si>
  <si>
    <t>COUNTA</t>
  </si>
  <si>
    <t>Product count</t>
  </si>
  <si>
    <t>Formula: =COUNTA(brand_Data[Product Name])</t>
  </si>
  <si>
    <t>AVERAGE</t>
  </si>
  <si>
    <t>Average price</t>
  </si>
  <si>
    <t>Formula: =AVERAGE(brand_Data[Price ($)])</t>
  </si>
  <si>
    <t>MIN</t>
  </si>
  <si>
    <t>Minimum price</t>
  </si>
  <si>
    <t>Formula: =MIN(brand_Data[Price ($)])</t>
  </si>
  <si>
    <t>MAX</t>
  </si>
  <si>
    <t>Maximum price</t>
  </si>
  <si>
    <t>Formula: =MAX(brand_Data[Price ($)])</t>
  </si>
  <si>
    <t>IF</t>
  </si>
  <si>
    <t>Price Range classification (sample row)</t>
  </si>
  <si>
    <t>Formula: =IF([@[Price ($)]]&gt;=500,"High Price","Standard Price")</t>
  </si>
  <si>
    <t>SUMIF</t>
  </si>
  <si>
    <t>Electronics total price</t>
  </si>
  <si>
    <t>Formula: =SUMIF(brand_Data[Category],"Electronics",brand_Data[Price ($)])</t>
  </si>
  <si>
    <t>COUNTIF</t>
  </si>
  <si>
    <t>Products priced below $100</t>
  </si>
  <si>
    <t>Formula: =COUNTIF(brand_Data[Price ($)],"&lt;100")</t>
  </si>
  <si>
    <t>LEFT</t>
  </si>
  <si>
    <t>Day from Product ID (sample row)</t>
  </si>
  <si>
    <t>Formula: =LEFT([@[Product ID]],2)</t>
  </si>
  <si>
    <t>RIGHT</t>
  </si>
  <si>
    <t>Country Code from Product ID (sample row)</t>
  </si>
  <si>
    <t>Formula: =RIGHT([@[Product ID]],2)</t>
  </si>
  <si>
    <t>MID</t>
  </si>
  <si>
    <t>Month from Product ID (sample row)</t>
  </si>
  <si>
    <t>Formula: =MID([@[Product ID]],4,3)</t>
  </si>
  <si>
    <t>Derived Data Columns — all 34 products</t>
  </si>
  <si>
    <t>Country Code</t>
  </si>
  <si>
    <t xml:space="preserve">                                                           BASIC DATA EXPLORATION —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</si>
</sst>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3"/>
      <name val="Aptos Narrow"/>
      <family val="2"/>
      <scheme val="minor"/>
    </font>
    <font>
      <b/>
      <sz val="18"/>
      <color theme="3"/>
      <name val="Kristen ITC"/>
      <family val="4"/>
    </font>
    <font>
      <b/>
      <sz val="18"/>
      <color theme="3"/>
      <name val="Times New Roman"/>
      <family val="1"/>
    </font>
    <font>
      <b/>
      <sz val="14"/>
      <color theme="6"/>
      <name val="Book Antiqua"/>
      <family val="1"/>
    </font>
    <font>
      <b/>
      <sz val="14"/>
      <color rgb="FFC00000"/>
      <name val="Bookman Old Style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9"/>
        <bgColor rgb="FF4DD0E1"/>
      </patternFill>
    </fill>
    <fill>
      <patternFill patternType="solid">
        <fgColor rgb="FFFF1D1D"/>
        <bgColor rgb="FF4DD0E1"/>
      </patternFill>
    </fill>
    <fill>
      <patternFill patternType="solid">
        <fgColor rgb="FF1D233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0F7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4" fontId="0" fillId="0" borderId="1" xfId="0" applyNumberFormat="1" applyBorder="1"/>
    <xf numFmtId="0" fontId="8" fillId="5" borderId="1" xfId="0" applyFont="1" applyFill="1" applyBorder="1"/>
    <xf numFmtId="0" fontId="9" fillId="6" borderId="2" xfId="0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1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0" fontId="10" fillId="8" borderId="0" xfId="0" applyFont="1" applyFill="1" applyAlignment="1">
      <alignment horizontal="left" wrapText="1"/>
    </xf>
    <xf numFmtId="0" fontId="14" fillId="0" borderId="0" xfId="0" applyFont="1" applyAlignment="1">
      <alignment horizontal="left"/>
    </xf>
    <xf numFmtId="0" fontId="11" fillId="9" borderId="1" xfId="0" applyFont="1" applyFill="1" applyBorder="1" applyAlignment="1">
      <alignment horizontal="left"/>
    </xf>
    <xf numFmtId="2" fontId="6" fillId="3" borderId="2" xfId="0" applyNumberFormat="1" applyFont="1" applyFill="1" applyBorder="1" applyAlignment="1">
      <alignment horizontal="center"/>
    </xf>
    <xf numFmtId="2" fontId="6" fillId="3" borderId="3" xfId="0" applyNumberFormat="1" applyFont="1" applyFill="1" applyBorder="1" applyAlignment="1">
      <alignment horizontal="center"/>
    </xf>
    <xf numFmtId="0" fontId="3" fillId="2" borderId="0" xfId="0" applyFont="1" applyFill="1"/>
    <xf numFmtId="0" fontId="7" fillId="4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2" borderId="1" xfId="0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1D1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274E4-0F3A-41C5-AF70-F025C0F60813}" name="brand_Data" displayName="brand_Data" ref="A1:J35" totalsRowShown="0" headerRowDxfId="11" dataDxfId="10">
  <tableColumns count="10">
    <tableColumn id="1" xr3:uid="{4E49425D-61DC-4B62-94D9-2A58777BBA77}" name="Product ID" dataDxfId="6"/>
    <tableColumn id="2" xr3:uid="{20DA3727-5730-4C98-8177-FCC339B74E31}" name="Product Name" dataDxfId="5"/>
    <tableColumn id="3" xr3:uid="{6B72E6C5-D83D-4AAC-A8DA-797BDBD03D2B}" name="Brand Name" dataDxfId="4"/>
    <tableColumn id="4" xr3:uid="{DB7F2C50-D036-4F31-B0EA-8822F49FCB33}" name="Price ($)" dataDxfId="3"/>
    <tableColumn id="5" xr3:uid="{72084B0F-609F-4D67-B8D5-1184F613311E}" name="Quantity" dataDxfId="2"/>
    <tableColumn id="6" xr3:uid="{99B3BF92-AB40-4F28-A393-C89AD3C8099F}" name="Category" dataDxfId="0"/>
    <tableColumn id="7" xr3:uid="{0B78ECE2-BEB5-4C41-A3DD-D8841C1A7FCC}" name="Price Range" dataDxfId="1">
      <calculatedColumnFormula>IF(brand_Data[[#This Row],[Price ($)]]&gt;=500,"High Price","Standard Price")</calculatedColumnFormula>
    </tableColumn>
    <tableColumn id="8" xr3:uid="{5EFC72F1-0B34-41E2-B1DA-944446172194}" name="Day" dataDxfId="9">
      <calculatedColumnFormula>LEFT(brand_Data[[#This Row],[Product ID]],2)</calculatedColumnFormula>
    </tableColumn>
    <tableColumn id="9" xr3:uid="{8D895159-97BA-46BD-99A8-63EC5557FC6E}" name="Country code" dataDxfId="8">
      <calculatedColumnFormula>RIGHT(brand_Data[[#This Row],[Product ID]],2)</calculatedColumnFormula>
    </tableColumn>
    <tableColumn id="10" xr3:uid="{08496B63-C452-494A-BAFD-56C37C066070}" name="Month" dataDxfId="7">
      <calculatedColumnFormula>MID(brand_Data[[#This Row],[Product ID]],4,3)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F0BA3F0-EDF4-45BD-9668-799627B4A4C2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6fd3689f-f777-4726-bd51-a49fed2dad4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CE86543-5601-47E7-A385-57FF9C71D64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0c5183d-4ede-4474-8e0c-e1aaa87b376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6218-3615-44E7-96C6-22923727C926}">
  <dimension ref="A1:J35"/>
  <sheetViews>
    <sheetView tabSelected="1" workbookViewId="0">
      <selection activeCell="J25" sqref="J25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3.33203125" bestFit="1" customWidth="1"/>
    <col min="8" max="8" width="4.33203125" bestFit="1" customWidth="1"/>
    <col min="9" max="9" width="12.88671875" bestFit="1" customWidth="1"/>
    <col min="10" max="10" width="6.44140625" bestFit="1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117</v>
      </c>
      <c r="H1" s="6" t="s">
        <v>121</v>
      </c>
      <c r="I1" s="6" t="s">
        <v>122</v>
      </c>
      <c r="J1" s="6" t="s">
        <v>123</v>
      </c>
    </row>
    <row r="2" spans="1:10" x14ac:dyDescent="0.3">
      <c r="A2" s="22" t="s">
        <v>6</v>
      </c>
      <c r="B2" s="22" t="s">
        <v>7</v>
      </c>
      <c r="C2" s="22" t="s">
        <v>8</v>
      </c>
      <c r="D2" s="22">
        <v>1000</v>
      </c>
      <c r="E2" s="22">
        <v>30</v>
      </c>
      <c r="F2" s="22" t="s">
        <v>9</v>
      </c>
      <c r="G2" s="5" t="str">
        <f>IF(brand_Data[[#This Row],[Price ($)]]&gt;=500,"High Price","Standard Price")</f>
        <v>High Price</v>
      </c>
      <c r="H2" s="5" t="str">
        <f>LEFT(brand_Data[[#This Row],[Product ID]],2)</f>
        <v>28</v>
      </c>
      <c r="I2" s="5" t="str">
        <f>RIGHT(brand_Data[[#This Row],[Product ID]],2)</f>
        <v>US</v>
      </c>
      <c r="J2" s="5" t="str">
        <f>MID(brand_Data[[#This Row],[Product ID]],4,3)</f>
        <v>JAN</v>
      </c>
    </row>
    <row r="3" spans="1:10" x14ac:dyDescent="0.3">
      <c r="A3" s="23" t="s">
        <v>10</v>
      </c>
      <c r="B3" s="23" t="s">
        <v>11</v>
      </c>
      <c r="C3" s="23" t="s">
        <v>12</v>
      </c>
      <c r="D3" s="23">
        <v>80</v>
      </c>
      <c r="E3" s="23">
        <v>15</v>
      </c>
      <c r="F3" s="23" t="s">
        <v>13</v>
      </c>
      <c r="G3" s="5" t="str">
        <f>IF(brand_Data[[#This Row],[Price ($)]]&gt;=500,"High Price","Standard Price")</f>
        <v>Standard Price</v>
      </c>
      <c r="H3" s="5" t="str">
        <f>LEFT(brand_Data[[#This Row],[Product ID]],2)</f>
        <v>15</v>
      </c>
      <c r="I3" s="5" t="str">
        <f>RIGHT(brand_Data[[#This Row],[Product ID]],2)</f>
        <v>US</v>
      </c>
      <c r="J3" s="5" t="str">
        <f>MID(brand_Data[[#This Row],[Product ID]],4,3)</f>
        <v>FEB</v>
      </c>
    </row>
    <row r="4" spans="1:10" x14ac:dyDescent="0.3">
      <c r="A4" s="22" t="s">
        <v>14</v>
      </c>
      <c r="B4" s="22" t="s">
        <v>15</v>
      </c>
      <c r="C4" s="22" t="s">
        <v>16</v>
      </c>
      <c r="D4" s="22">
        <v>130</v>
      </c>
      <c r="E4" s="22">
        <v>40</v>
      </c>
      <c r="F4" s="22" t="s">
        <v>17</v>
      </c>
      <c r="G4" s="5" t="str">
        <f>IF(brand_Data[[#This Row],[Price ($)]]&gt;=500,"High Price","Standard Price")</f>
        <v>Standard Price</v>
      </c>
      <c r="H4" s="5" t="str">
        <f>LEFT(brand_Data[[#This Row],[Product ID]],2)</f>
        <v>03</v>
      </c>
      <c r="I4" s="5" t="str">
        <f>RIGHT(brand_Data[[#This Row],[Product ID]],2)</f>
        <v>US</v>
      </c>
      <c r="J4" s="5" t="str">
        <f>MID(brand_Data[[#This Row],[Product ID]],4,3)</f>
        <v>MAR</v>
      </c>
    </row>
    <row r="5" spans="1:10" x14ac:dyDescent="0.3">
      <c r="A5" s="23" t="s">
        <v>18</v>
      </c>
      <c r="B5" s="23" t="s">
        <v>19</v>
      </c>
      <c r="C5" s="23" t="s">
        <v>20</v>
      </c>
      <c r="D5" s="23">
        <v>900</v>
      </c>
      <c r="E5" s="23">
        <v>25</v>
      </c>
      <c r="F5" s="23" t="s">
        <v>9</v>
      </c>
      <c r="G5" s="5" t="str">
        <f>IF(brand_Data[[#This Row],[Price ($)]]&gt;=500,"High Price","Standard Price")</f>
        <v>High Price</v>
      </c>
      <c r="H5" s="5" t="str">
        <f>LEFT(brand_Data[[#This Row],[Product ID]],2)</f>
        <v>11</v>
      </c>
      <c r="I5" s="5" t="str">
        <f>RIGHT(brand_Data[[#This Row],[Product ID]],2)</f>
        <v>US</v>
      </c>
      <c r="J5" s="5" t="str">
        <f>MID(brand_Data[[#This Row],[Product ID]],4,3)</f>
        <v>APR</v>
      </c>
    </row>
    <row r="6" spans="1:10" x14ac:dyDescent="0.3">
      <c r="A6" s="22" t="s">
        <v>21</v>
      </c>
      <c r="B6" s="22" t="s">
        <v>22</v>
      </c>
      <c r="C6" s="22" t="s">
        <v>23</v>
      </c>
      <c r="D6" s="22">
        <v>70</v>
      </c>
      <c r="E6" s="22">
        <v>20</v>
      </c>
      <c r="F6" s="22" t="s">
        <v>24</v>
      </c>
      <c r="G6" s="5" t="str">
        <f>IF(brand_Data[[#This Row],[Price ($)]]&gt;=500,"High Price","Standard Price")</f>
        <v>Standard Price</v>
      </c>
      <c r="H6" s="5" t="str">
        <f>LEFT(brand_Data[[#This Row],[Product ID]],2)</f>
        <v>22</v>
      </c>
      <c r="I6" s="5" t="str">
        <f>RIGHT(brand_Data[[#This Row],[Product ID]],2)</f>
        <v>US</v>
      </c>
      <c r="J6" s="5" t="str">
        <f>MID(brand_Data[[#This Row],[Product ID]],4,3)</f>
        <v>MAY</v>
      </c>
    </row>
    <row r="7" spans="1:10" x14ac:dyDescent="0.3">
      <c r="A7" s="23" t="s">
        <v>25</v>
      </c>
      <c r="B7" s="23" t="s">
        <v>26</v>
      </c>
      <c r="C7" s="23" t="s">
        <v>27</v>
      </c>
      <c r="D7" s="23">
        <v>200</v>
      </c>
      <c r="E7" s="23">
        <v>45</v>
      </c>
      <c r="F7" s="23" t="s">
        <v>9</v>
      </c>
      <c r="G7" s="5" t="str">
        <f>IF(brand_Data[[#This Row],[Price ($)]]&gt;=500,"High Price","Standard Price")</f>
        <v>Standard Price</v>
      </c>
      <c r="H7" s="5" t="str">
        <f>LEFT(brand_Data[[#This Row],[Product ID]],2)</f>
        <v>07</v>
      </c>
      <c r="I7" s="5" t="str">
        <f>RIGHT(brand_Data[[#This Row],[Product ID]],2)</f>
        <v>UK</v>
      </c>
      <c r="J7" s="5" t="str">
        <f>MID(brand_Data[[#This Row],[Product ID]],4,3)</f>
        <v>JUN</v>
      </c>
    </row>
    <row r="8" spans="1:10" x14ac:dyDescent="0.3">
      <c r="A8" s="22" t="s">
        <v>28</v>
      </c>
      <c r="B8" s="22" t="s">
        <v>29</v>
      </c>
      <c r="C8" s="22" t="s">
        <v>30</v>
      </c>
      <c r="D8" s="22">
        <v>30</v>
      </c>
      <c r="E8" s="22">
        <v>5</v>
      </c>
      <c r="F8" s="22" t="s">
        <v>13</v>
      </c>
      <c r="G8" s="5" t="str">
        <f>IF(brand_Data[[#This Row],[Price ($)]]&gt;=500,"High Price","Standard Price")</f>
        <v>Standard Price</v>
      </c>
      <c r="H8" s="5" t="str">
        <f>LEFT(brand_Data[[#This Row],[Product ID]],2)</f>
        <v>19</v>
      </c>
      <c r="I8" s="5" t="str">
        <f>RIGHT(brand_Data[[#This Row],[Product ID]],2)</f>
        <v>UK</v>
      </c>
      <c r="J8" s="5" t="str">
        <f>MID(brand_Data[[#This Row],[Product ID]],4,3)</f>
        <v>JUL</v>
      </c>
    </row>
    <row r="9" spans="1:10" x14ac:dyDescent="0.3">
      <c r="A9" s="23" t="s">
        <v>31</v>
      </c>
      <c r="B9" s="23" t="s">
        <v>32</v>
      </c>
      <c r="C9" s="23" t="s">
        <v>33</v>
      </c>
      <c r="D9" s="23">
        <v>90</v>
      </c>
      <c r="E9" s="23">
        <v>35</v>
      </c>
      <c r="F9" s="23" t="s">
        <v>17</v>
      </c>
      <c r="G9" s="5" t="str">
        <f>IF(brand_Data[[#This Row],[Price ($)]]&gt;=500,"High Price","Standard Price")</f>
        <v>Standard Price</v>
      </c>
      <c r="H9" s="5" t="str">
        <f>LEFT(brand_Data[[#This Row],[Product ID]],2)</f>
        <v>23</v>
      </c>
      <c r="I9" s="5" t="str">
        <f>RIGHT(brand_Data[[#This Row],[Product ID]],2)</f>
        <v>UK</v>
      </c>
      <c r="J9" s="5" t="str">
        <f>MID(brand_Data[[#This Row],[Product ID]],4,3)</f>
        <v>AUG</v>
      </c>
    </row>
    <row r="10" spans="1:10" x14ac:dyDescent="0.3">
      <c r="A10" s="22" t="s">
        <v>34</v>
      </c>
      <c r="B10" s="22" t="s">
        <v>35</v>
      </c>
      <c r="C10" s="22" t="s">
        <v>36</v>
      </c>
      <c r="D10" s="22">
        <v>500</v>
      </c>
      <c r="E10" s="22">
        <v>50</v>
      </c>
      <c r="F10" s="22" t="s">
        <v>9</v>
      </c>
      <c r="G10" s="5" t="str">
        <f>IF(brand_Data[[#This Row],[Price ($)]]&gt;=500,"High Price","Standard Price")</f>
        <v>High Price</v>
      </c>
      <c r="H10" s="5" t="str">
        <f>LEFT(brand_Data[[#This Row],[Product ID]],2)</f>
        <v>05</v>
      </c>
      <c r="I10" s="5" t="str">
        <f>RIGHT(brand_Data[[#This Row],[Product ID]],2)</f>
        <v>UK</v>
      </c>
      <c r="J10" s="5" t="str">
        <f>MID(brand_Data[[#This Row],[Product ID]],4,3)</f>
        <v>SEP</v>
      </c>
    </row>
    <row r="11" spans="1:10" x14ac:dyDescent="0.3">
      <c r="A11" s="23" t="s">
        <v>37</v>
      </c>
      <c r="B11" s="23" t="s">
        <v>38</v>
      </c>
      <c r="C11" s="23" t="s">
        <v>39</v>
      </c>
      <c r="D11" s="23">
        <v>130</v>
      </c>
      <c r="E11" s="23">
        <v>10</v>
      </c>
      <c r="F11" s="23" t="s">
        <v>24</v>
      </c>
      <c r="G11" s="5" t="str">
        <f>IF(brand_Data[[#This Row],[Price ($)]]&gt;=500,"High Price","Standard Price")</f>
        <v>Standard Price</v>
      </c>
      <c r="H11" s="5" t="str">
        <f>LEFT(brand_Data[[#This Row],[Product ID]],2)</f>
        <v>14</v>
      </c>
      <c r="I11" s="5" t="str">
        <f>RIGHT(brand_Data[[#This Row],[Product ID]],2)</f>
        <v>UK</v>
      </c>
      <c r="J11" s="5" t="str">
        <f>MID(brand_Data[[#This Row],[Product ID]],4,3)</f>
        <v>OCT</v>
      </c>
    </row>
    <row r="12" spans="1:10" x14ac:dyDescent="0.3">
      <c r="A12" s="22" t="s">
        <v>40</v>
      </c>
      <c r="B12" s="22" t="s">
        <v>7</v>
      </c>
      <c r="C12" s="22" t="s">
        <v>41</v>
      </c>
      <c r="D12" s="22">
        <v>950</v>
      </c>
      <c r="E12" s="22">
        <v>25</v>
      </c>
      <c r="F12" s="22" t="s">
        <v>9</v>
      </c>
      <c r="G12" s="5" t="str">
        <f>IF(brand_Data[[#This Row],[Price ($)]]&gt;=500,"High Price","Standard Price")</f>
        <v>High Price</v>
      </c>
      <c r="H12" s="5" t="str">
        <f>LEFT(brand_Data[[#This Row],[Product ID]],2)</f>
        <v>17</v>
      </c>
      <c r="I12" s="5" t="str">
        <f>RIGHT(brand_Data[[#This Row],[Product ID]],2)</f>
        <v>IN</v>
      </c>
      <c r="J12" s="5" t="str">
        <f>MID(brand_Data[[#This Row],[Product ID]],4,3)</f>
        <v>JUN</v>
      </c>
    </row>
    <row r="13" spans="1:10" x14ac:dyDescent="0.3">
      <c r="A13" s="23" t="s">
        <v>42</v>
      </c>
      <c r="B13" s="23" t="s">
        <v>11</v>
      </c>
      <c r="C13" s="23" t="s">
        <v>30</v>
      </c>
      <c r="D13" s="23">
        <v>90</v>
      </c>
      <c r="E13" s="23">
        <v>40</v>
      </c>
      <c r="F13" s="23" t="s">
        <v>13</v>
      </c>
      <c r="G13" s="5" t="str">
        <f>IF(brand_Data[[#This Row],[Price ($)]]&gt;=500,"High Price","Standard Price")</f>
        <v>Standard Price</v>
      </c>
      <c r="H13" s="5" t="str">
        <f>LEFT(brand_Data[[#This Row],[Product ID]],2)</f>
        <v>25</v>
      </c>
      <c r="I13" s="5" t="str">
        <f>RIGHT(brand_Data[[#This Row],[Product ID]],2)</f>
        <v>AU</v>
      </c>
      <c r="J13" s="5" t="str">
        <f>MID(brand_Data[[#This Row],[Product ID]],4,3)</f>
        <v>NOV</v>
      </c>
    </row>
    <row r="14" spans="1:10" x14ac:dyDescent="0.3">
      <c r="A14" s="22" t="s">
        <v>43</v>
      </c>
      <c r="B14" s="22" t="s">
        <v>15</v>
      </c>
      <c r="C14" s="22" t="s">
        <v>44</v>
      </c>
      <c r="D14" s="22">
        <v>120</v>
      </c>
      <c r="E14" s="22">
        <v>35</v>
      </c>
      <c r="F14" s="22" t="s">
        <v>17</v>
      </c>
      <c r="G14" s="5" t="str">
        <f>IF(brand_Data[[#This Row],[Price ($)]]&gt;=500,"High Price","Standard Price")</f>
        <v>Standard Price</v>
      </c>
      <c r="H14" s="5" t="str">
        <f>LEFT(brand_Data[[#This Row],[Product ID]],2)</f>
        <v>08</v>
      </c>
      <c r="I14" s="5" t="str">
        <f>RIGHT(brand_Data[[#This Row],[Product ID]],2)</f>
        <v>DE</v>
      </c>
      <c r="J14" s="5" t="str">
        <f>MID(brand_Data[[#This Row],[Product ID]],4,3)</f>
        <v>DEC</v>
      </c>
    </row>
    <row r="15" spans="1:10" x14ac:dyDescent="0.3">
      <c r="A15" s="23" t="s">
        <v>45</v>
      </c>
      <c r="B15" s="23" t="s">
        <v>46</v>
      </c>
      <c r="C15" s="23" t="s">
        <v>47</v>
      </c>
      <c r="D15" s="23">
        <v>150</v>
      </c>
      <c r="E15" s="23">
        <v>15</v>
      </c>
      <c r="F15" s="23" t="s">
        <v>9</v>
      </c>
      <c r="G15" s="5" t="str">
        <f>IF(brand_Data[[#This Row],[Price ($)]]&gt;=500,"High Price","Standard Price")</f>
        <v>Standard Price</v>
      </c>
      <c r="H15" s="5" t="str">
        <f>LEFT(brand_Data[[#This Row],[Product ID]],2)</f>
        <v>18</v>
      </c>
      <c r="I15" s="5" t="str">
        <f>RIGHT(brand_Data[[#This Row],[Product ID]],2)</f>
        <v>CA</v>
      </c>
      <c r="J15" s="5" t="str">
        <f>MID(brand_Data[[#This Row],[Product ID]],4,3)</f>
        <v>FEB</v>
      </c>
    </row>
    <row r="16" spans="1:10" x14ac:dyDescent="0.3">
      <c r="A16" s="22" t="s">
        <v>48</v>
      </c>
      <c r="B16" s="22" t="s">
        <v>26</v>
      </c>
      <c r="C16" s="22" t="s">
        <v>49</v>
      </c>
      <c r="D16" s="22">
        <v>250</v>
      </c>
      <c r="E16" s="22">
        <v>20</v>
      </c>
      <c r="F16" s="22" t="s">
        <v>9</v>
      </c>
      <c r="G16" s="5" t="str">
        <f>IF(brand_Data[[#This Row],[Price ($)]]&gt;=500,"High Price","Standard Price")</f>
        <v>Standard Price</v>
      </c>
      <c r="H16" s="5" t="str">
        <f>LEFT(brand_Data[[#This Row],[Product ID]],2)</f>
        <v>16</v>
      </c>
      <c r="I16" s="5" t="str">
        <f>RIGHT(brand_Data[[#This Row],[Product ID]],2)</f>
        <v>ES</v>
      </c>
      <c r="J16" s="5" t="str">
        <f>MID(brand_Data[[#This Row],[Product ID]],4,3)</f>
        <v>APR</v>
      </c>
    </row>
    <row r="17" spans="1:10" x14ac:dyDescent="0.3">
      <c r="A17" s="23" t="s">
        <v>50</v>
      </c>
      <c r="B17" s="23" t="s">
        <v>51</v>
      </c>
      <c r="C17" s="23" t="s">
        <v>52</v>
      </c>
      <c r="D17" s="23">
        <v>50</v>
      </c>
      <c r="E17" s="23">
        <v>35</v>
      </c>
      <c r="F17" s="23" t="s">
        <v>53</v>
      </c>
      <c r="G17" s="5" t="str">
        <f>IF(brand_Data[[#This Row],[Price ($)]]&gt;=500,"High Price","Standard Price")</f>
        <v>Standard Price</v>
      </c>
      <c r="H17" s="5" t="str">
        <f>LEFT(brand_Data[[#This Row],[Product ID]],2)</f>
        <v>21</v>
      </c>
      <c r="I17" s="5" t="str">
        <f>RIGHT(brand_Data[[#This Row],[Product ID]],2)</f>
        <v>CA</v>
      </c>
      <c r="J17" s="5" t="str">
        <f>MID(brand_Data[[#This Row],[Product ID]],4,3)</f>
        <v>AUG</v>
      </c>
    </row>
    <row r="18" spans="1:10" x14ac:dyDescent="0.3">
      <c r="A18" s="22" t="s">
        <v>54</v>
      </c>
      <c r="B18" s="22" t="s">
        <v>46</v>
      </c>
      <c r="C18" s="22" t="s">
        <v>55</v>
      </c>
      <c r="D18" s="22">
        <v>160</v>
      </c>
      <c r="E18" s="22">
        <v>15</v>
      </c>
      <c r="F18" s="22" t="s">
        <v>9</v>
      </c>
      <c r="G18" s="5" t="str">
        <f>IF(brand_Data[[#This Row],[Price ($)]]&gt;=500,"High Price","Standard Price")</f>
        <v>Standard Price</v>
      </c>
      <c r="H18" s="5" t="str">
        <f>LEFT(brand_Data[[#This Row],[Product ID]],2)</f>
        <v>20</v>
      </c>
      <c r="I18" s="5" t="str">
        <f>RIGHT(brand_Data[[#This Row],[Product ID]],2)</f>
        <v>CN</v>
      </c>
      <c r="J18" s="5" t="str">
        <f>MID(brand_Data[[#This Row],[Product ID]],4,3)</f>
        <v>AUG</v>
      </c>
    </row>
    <row r="19" spans="1:10" x14ac:dyDescent="0.3">
      <c r="A19" s="23" t="s">
        <v>56</v>
      </c>
      <c r="B19" s="23" t="s">
        <v>7</v>
      </c>
      <c r="C19" s="23" t="s">
        <v>57</v>
      </c>
      <c r="D19" s="23">
        <v>980</v>
      </c>
      <c r="E19" s="23">
        <v>10</v>
      </c>
      <c r="F19" s="23" t="s">
        <v>9</v>
      </c>
      <c r="G19" s="5" t="str">
        <f>IF(brand_Data[[#This Row],[Price ($)]]&gt;=500,"High Price","Standard Price")</f>
        <v>High Price</v>
      </c>
      <c r="H19" s="5" t="str">
        <f>LEFT(brand_Data[[#This Row],[Product ID]],2)</f>
        <v>27</v>
      </c>
      <c r="I19" s="5" t="str">
        <f>RIGHT(brand_Data[[#This Row],[Product ID]],2)</f>
        <v>IT</v>
      </c>
      <c r="J19" s="5" t="str">
        <f>MID(brand_Data[[#This Row],[Product ID]],4,3)</f>
        <v>JAN</v>
      </c>
    </row>
    <row r="20" spans="1:10" x14ac:dyDescent="0.3">
      <c r="A20" s="22" t="s">
        <v>58</v>
      </c>
      <c r="B20" s="22" t="s">
        <v>59</v>
      </c>
      <c r="C20" s="22" t="s">
        <v>60</v>
      </c>
      <c r="D20" s="22">
        <v>150</v>
      </c>
      <c r="E20" s="22">
        <v>15</v>
      </c>
      <c r="F20" s="22" t="s">
        <v>13</v>
      </c>
      <c r="G20" s="5" t="str">
        <f>IF(brand_Data[[#This Row],[Price ($)]]&gt;=500,"High Price","Standard Price")</f>
        <v>Standard Price</v>
      </c>
      <c r="H20" s="5" t="str">
        <f>LEFT(brand_Data[[#This Row],[Product ID]],2)</f>
        <v>01</v>
      </c>
      <c r="I20" s="5" t="str">
        <f>RIGHT(brand_Data[[#This Row],[Product ID]],2)</f>
        <v>UK</v>
      </c>
      <c r="J20" s="5" t="str">
        <f>MID(brand_Data[[#This Row],[Product ID]],4,3)</f>
        <v>MAR</v>
      </c>
    </row>
    <row r="21" spans="1:10" x14ac:dyDescent="0.3">
      <c r="A21" s="23" t="s">
        <v>61</v>
      </c>
      <c r="B21" s="23" t="s">
        <v>62</v>
      </c>
      <c r="C21" s="23" t="s">
        <v>63</v>
      </c>
      <c r="D21" s="23">
        <v>200</v>
      </c>
      <c r="E21" s="23">
        <v>10</v>
      </c>
      <c r="F21" s="23" t="s">
        <v>24</v>
      </c>
      <c r="G21" s="5" t="str">
        <f>IF(brand_Data[[#This Row],[Price ($)]]&gt;=500,"High Price","Standard Price")</f>
        <v>Standard Price</v>
      </c>
      <c r="H21" s="5" t="str">
        <f>LEFT(brand_Data[[#This Row],[Product ID]],2)</f>
        <v>14</v>
      </c>
      <c r="I21" s="5" t="str">
        <f>RIGHT(brand_Data[[#This Row],[Product ID]],2)</f>
        <v>US</v>
      </c>
      <c r="J21" s="5" t="str">
        <f>MID(brand_Data[[#This Row],[Product ID]],4,3)</f>
        <v>AUG</v>
      </c>
    </row>
    <row r="22" spans="1:10" x14ac:dyDescent="0.3">
      <c r="A22" s="22" t="s">
        <v>64</v>
      </c>
      <c r="B22" s="22" t="s">
        <v>65</v>
      </c>
      <c r="C22" s="22" t="s">
        <v>66</v>
      </c>
      <c r="D22" s="22">
        <v>700</v>
      </c>
      <c r="E22" s="22">
        <v>50</v>
      </c>
      <c r="F22" s="22" t="s">
        <v>9</v>
      </c>
      <c r="G22" s="5" t="str">
        <f>IF(brand_Data[[#This Row],[Price ($)]]&gt;=500,"High Price","Standard Price")</f>
        <v>High Price</v>
      </c>
      <c r="H22" s="5" t="str">
        <f>LEFT(brand_Data[[#This Row],[Product ID]],2)</f>
        <v>14</v>
      </c>
      <c r="I22" s="5" t="str">
        <f>RIGHT(brand_Data[[#This Row],[Product ID]],2)</f>
        <v>RU</v>
      </c>
      <c r="J22" s="5" t="str">
        <f>MID(brand_Data[[#This Row],[Product ID]],4,3)</f>
        <v>MAY</v>
      </c>
    </row>
    <row r="23" spans="1:10" x14ac:dyDescent="0.3">
      <c r="A23" s="23" t="s">
        <v>67</v>
      </c>
      <c r="B23" s="23" t="s">
        <v>68</v>
      </c>
      <c r="C23" s="23" t="s">
        <v>69</v>
      </c>
      <c r="D23" s="23">
        <v>80</v>
      </c>
      <c r="E23" s="23">
        <v>20</v>
      </c>
      <c r="F23" s="23" t="s">
        <v>17</v>
      </c>
      <c r="G23" s="5" t="str">
        <f>IF(brand_Data[[#This Row],[Price ($)]]&gt;=500,"High Price","Standard Price")</f>
        <v>Standard Price</v>
      </c>
      <c r="H23" s="5" t="str">
        <f>LEFT(brand_Data[[#This Row],[Product ID]],2)</f>
        <v>09</v>
      </c>
      <c r="I23" s="5" t="str">
        <f>RIGHT(brand_Data[[#This Row],[Product ID]],2)</f>
        <v>CA</v>
      </c>
      <c r="J23" s="5" t="str">
        <f>MID(brand_Data[[#This Row],[Product ID]],4,3)</f>
        <v>JAN</v>
      </c>
    </row>
    <row r="24" spans="1:10" x14ac:dyDescent="0.3">
      <c r="A24" s="22" t="s">
        <v>70</v>
      </c>
      <c r="B24" s="22" t="s">
        <v>71</v>
      </c>
      <c r="C24" s="22" t="s">
        <v>72</v>
      </c>
      <c r="D24" s="22">
        <v>150</v>
      </c>
      <c r="E24" s="22">
        <v>30</v>
      </c>
      <c r="F24" s="22" t="s">
        <v>9</v>
      </c>
      <c r="G24" s="5" t="str">
        <f>IF(brand_Data[[#This Row],[Price ($)]]&gt;=500,"High Price","Standard Price")</f>
        <v>Standard Price</v>
      </c>
      <c r="H24" s="5" t="str">
        <f>LEFT(brand_Data[[#This Row],[Product ID]],2)</f>
        <v>19</v>
      </c>
      <c r="I24" s="5" t="str">
        <f>RIGHT(brand_Data[[#This Row],[Product ID]],2)</f>
        <v>BR</v>
      </c>
      <c r="J24" s="5" t="str">
        <f>MID(brand_Data[[#This Row],[Product ID]],4,3)</f>
        <v>JUL</v>
      </c>
    </row>
    <row r="25" spans="1:10" x14ac:dyDescent="0.3">
      <c r="A25" s="23" t="s">
        <v>50</v>
      </c>
      <c r="B25" s="23" t="s">
        <v>51</v>
      </c>
      <c r="C25" s="23" t="s">
        <v>52</v>
      </c>
      <c r="D25" s="23">
        <v>50</v>
      </c>
      <c r="E25" s="23">
        <v>35</v>
      </c>
      <c r="F25" s="23" t="s">
        <v>53</v>
      </c>
      <c r="G25" s="5" t="str">
        <f>IF(brand_Data[[#This Row],[Price ($)]]&gt;=500,"High Price","Standard Price")</f>
        <v>Standard Price</v>
      </c>
      <c r="H25" s="5" t="str">
        <f>LEFT(brand_Data[[#This Row],[Product ID]],2)</f>
        <v>21</v>
      </c>
      <c r="I25" s="5" t="str">
        <f>RIGHT(brand_Data[[#This Row],[Product ID]],2)</f>
        <v>CA</v>
      </c>
      <c r="J25" s="5" t="str">
        <f>MID(brand_Data[[#This Row],[Product ID]],4,3)</f>
        <v>AUG</v>
      </c>
    </row>
    <row r="26" spans="1:10" x14ac:dyDescent="0.3">
      <c r="A26" s="22" t="s">
        <v>73</v>
      </c>
      <c r="B26" s="22" t="s">
        <v>19</v>
      </c>
      <c r="C26" s="22" t="s">
        <v>74</v>
      </c>
      <c r="D26" s="22">
        <v>800</v>
      </c>
      <c r="E26" s="22">
        <v>45</v>
      </c>
      <c r="F26" s="22" t="s">
        <v>9</v>
      </c>
      <c r="G26" s="5" t="str">
        <f>IF(brand_Data[[#This Row],[Price ($)]]&gt;=500,"High Price","Standard Price")</f>
        <v>High Price</v>
      </c>
      <c r="H26" s="5" t="str">
        <f>LEFT(brand_Data[[#This Row],[Product ID]],2)</f>
        <v>29</v>
      </c>
      <c r="I26" s="5" t="str">
        <f>RIGHT(brand_Data[[#This Row],[Product ID]],2)</f>
        <v>CA</v>
      </c>
      <c r="J26" s="5" t="str">
        <f>MID(brand_Data[[#This Row],[Product ID]],4,3)</f>
        <v>SEP</v>
      </c>
    </row>
    <row r="27" spans="1:10" x14ac:dyDescent="0.3">
      <c r="A27" s="23" t="s">
        <v>75</v>
      </c>
      <c r="B27" s="23" t="s">
        <v>59</v>
      </c>
      <c r="C27" s="23" t="s">
        <v>76</v>
      </c>
      <c r="D27" s="23">
        <v>130</v>
      </c>
      <c r="E27" s="23">
        <v>25</v>
      </c>
      <c r="F27" s="23" t="s">
        <v>13</v>
      </c>
      <c r="G27" s="5" t="str">
        <f>IF(brand_Data[[#This Row],[Price ($)]]&gt;=500,"High Price","Standard Price")</f>
        <v>Standard Price</v>
      </c>
      <c r="H27" s="5" t="str">
        <f>LEFT(brand_Data[[#This Row],[Product ID]],2)</f>
        <v>03</v>
      </c>
      <c r="I27" s="5" t="str">
        <f>RIGHT(brand_Data[[#This Row],[Product ID]],2)</f>
        <v>CA</v>
      </c>
      <c r="J27" s="5" t="str">
        <f>MID(brand_Data[[#This Row],[Product ID]],4,3)</f>
        <v>JUN</v>
      </c>
    </row>
    <row r="28" spans="1:10" x14ac:dyDescent="0.3">
      <c r="A28" s="22" t="s">
        <v>77</v>
      </c>
      <c r="B28" s="22" t="s">
        <v>32</v>
      </c>
      <c r="C28" s="22" t="s">
        <v>78</v>
      </c>
      <c r="D28" s="22">
        <v>400</v>
      </c>
      <c r="E28" s="22">
        <v>40</v>
      </c>
      <c r="F28" s="22" t="s">
        <v>17</v>
      </c>
      <c r="G28" s="5" t="str">
        <f>IF(brand_Data[[#This Row],[Price ($)]]&gt;=500,"High Price","Standard Price")</f>
        <v>Standard Price</v>
      </c>
      <c r="H28" s="5" t="str">
        <f>LEFT(brand_Data[[#This Row],[Product ID]],2)</f>
        <v>11</v>
      </c>
      <c r="I28" s="5" t="str">
        <f>RIGHT(brand_Data[[#This Row],[Product ID]],2)</f>
        <v>CA</v>
      </c>
      <c r="J28" s="5" t="str">
        <f>MID(brand_Data[[#This Row],[Product ID]],4,3)</f>
        <v>JUL</v>
      </c>
    </row>
    <row r="29" spans="1:10" x14ac:dyDescent="0.3">
      <c r="A29" s="23" t="s">
        <v>48</v>
      </c>
      <c r="B29" s="23" t="s">
        <v>26</v>
      </c>
      <c r="C29" s="23" t="s">
        <v>49</v>
      </c>
      <c r="D29" s="23">
        <v>230</v>
      </c>
      <c r="E29" s="23">
        <v>20</v>
      </c>
      <c r="F29" s="23" t="s">
        <v>9</v>
      </c>
      <c r="G29" s="5" t="str">
        <f>IF(brand_Data[[#This Row],[Price ($)]]&gt;=500,"High Price","Standard Price")</f>
        <v>Standard Price</v>
      </c>
      <c r="H29" s="5" t="str">
        <f>LEFT(brand_Data[[#This Row],[Product ID]],2)</f>
        <v>16</v>
      </c>
      <c r="I29" s="5" t="str">
        <f>RIGHT(brand_Data[[#This Row],[Product ID]],2)</f>
        <v>ES</v>
      </c>
      <c r="J29" s="5" t="str">
        <f>MID(brand_Data[[#This Row],[Product ID]],4,3)</f>
        <v>APR</v>
      </c>
    </row>
    <row r="30" spans="1:10" x14ac:dyDescent="0.3">
      <c r="A30" s="22" t="s">
        <v>79</v>
      </c>
      <c r="B30" s="22" t="s">
        <v>80</v>
      </c>
      <c r="C30" s="22" t="s">
        <v>81</v>
      </c>
      <c r="D30" s="22">
        <v>60</v>
      </c>
      <c r="E30" s="22">
        <v>30</v>
      </c>
      <c r="F30" s="22" t="s">
        <v>13</v>
      </c>
      <c r="G30" s="5" t="str">
        <f>IF(brand_Data[[#This Row],[Price ($)]]&gt;=500,"High Price","Standard Price")</f>
        <v>Standard Price</v>
      </c>
      <c r="H30" s="5" t="str">
        <f>LEFT(brand_Data[[#This Row],[Product ID]],2)</f>
        <v>07</v>
      </c>
      <c r="I30" s="5" t="str">
        <f>RIGHT(brand_Data[[#This Row],[Product ID]],2)</f>
        <v>CA</v>
      </c>
      <c r="J30" s="5" t="str">
        <f>MID(brand_Data[[#This Row],[Product ID]],4,3)</f>
        <v>MAR</v>
      </c>
    </row>
    <row r="31" spans="1:10" x14ac:dyDescent="0.3">
      <c r="A31" s="23" t="s">
        <v>82</v>
      </c>
      <c r="B31" s="23" t="s">
        <v>83</v>
      </c>
      <c r="C31" s="23" t="s">
        <v>84</v>
      </c>
      <c r="D31" s="23">
        <v>40</v>
      </c>
      <c r="E31" s="23">
        <v>10</v>
      </c>
      <c r="F31" s="23" t="s">
        <v>17</v>
      </c>
      <c r="G31" s="5" t="str">
        <f>IF(brand_Data[[#This Row],[Price ($)]]&gt;=500,"High Price","Standard Price")</f>
        <v>Standard Price</v>
      </c>
      <c r="H31" s="5" t="str">
        <f>LEFT(brand_Data[[#This Row],[Product ID]],2)</f>
        <v>13</v>
      </c>
      <c r="I31" s="5" t="str">
        <f>RIGHT(brand_Data[[#This Row],[Product ID]],2)</f>
        <v>CA</v>
      </c>
      <c r="J31" s="5" t="str">
        <f>MID(brand_Data[[#This Row],[Product ID]],4,3)</f>
        <v>APR</v>
      </c>
    </row>
    <row r="32" spans="1:10" x14ac:dyDescent="0.3">
      <c r="A32" s="22" t="s">
        <v>85</v>
      </c>
      <c r="B32" s="22" t="s">
        <v>71</v>
      </c>
      <c r="C32" s="22" t="s">
        <v>86</v>
      </c>
      <c r="D32" s="22">
        <v>130</v>
      </c>
      <c r="E32" s="22">
        <v>5</v>
      </c>
      <c r="F32" s="22" t="s">
        <v>9</v>
      </c>
      <c r="G32" s="5" t="str">
        <f>IF(brand_Data[[#This Row],[Price ($)]]&gt;=500,"High Price","Standard Price")</f>
        <v>Standard Price</v>
      </c>
      <c r="H32" s="5" t="str">
        <f>LEFT(brand_Data[[#This Row],[Product ID]],2)</f>
        <v>24</v>
      </c>
      <c r="I32" s="5" t="str">
        <f>RIGHT(brand_Data[[#This Row],[Product ID]],2)</f>
        <v>CA</v>
      </c>
      <c r="J32" s="5" t="str">
        <f>MID(brand_Data[[#This Row],[Product ID]],4,3)</f>
        <v>MAY</v>
      </c>
    </row>
    <row r="33" spans="1:10" x14ac:dyDescent="0.3">
      <c r="A33" s="23" t="s">
        <v>87</v>
      </c>
      <c r="B33" s="23" t="s">
        <v>88</v>
      </c>
      <c r="C33" s="23" t="s">
        <v>89</v>
      </c>
      <c r="D33" s="23">
        <v>50</v>
      </c>
      <c r="E33" s="23">
        <v>50</v>
      </c>
      <c r="F33" s="23" t="s">
        <v>13</v>
      </c>
      <c r="G33" s="5" t="str">
        <f>IF(brand_Data[[#This Row],[Price ($)]]&gt;=500,"High Price","Standard Price")</f>
        <v>Standard Price</v>
      </c>
      <c r="H33" s="5" t="str">
        <f>LEFT(brand_Data[[#This Row],[Product ID]],2)</f>
        <v>02</v>
      </c>
      <c r="I33" s="5" t="str">
        <f>RIGHT(brand_Data[[#This Row],[Product ID]],2)</f>
        <v>CA</v>
      </c>
      <c r="J33" s="5" t="str">
        <f>MID(brand_Data[[#This Row],[Product ID]],4,3)</f>
        <v>DEC</v>
      </c>
    </row>
    <row r="34" spans="1:10" x14ac:dyDescent="0.3">
      <c r="A34" s="22" t="s">
        <v>40</v>
      </c>
      <c r="B34" s="22" t="s">
        <v>7</v>
      </c>
      <c r="C34" s="22" t="s">
        <v>41</v>
      </c>
      <c r="D34" s="22">
        <v>950</v>
      </c>
      <c r="E34" s="22">
        <v>25</v>
      </c>
      <c r="F34" s="22" t="s">
        <v>9</v>
      </c>
      <c r="G34" s="5" t="str">
        <f>IF(brand_Data[[#This Row],[Price ($)]]&gt;=500,"High Price","Standard Price")</f>
        <v>High Price</v>
      </c>
      <c r="H34" s="5" t="str">
        <f>LEFT(brand_Data[[#This Row],[Product ID]],2)</f>
        <v>17</v>
      </c>
      <c r="I34" s="5" t="str">
        <f>RIGHT(brand_Data[[#This Row],[Product ID]],2)</f>
        <v>IN</v>
      </c>
      <c r="J34" s="5" t="str">
        <f>MID(brand_Data[[#This Row],[Product ID]],4,3)</f>
        <v>JUN</v>
      </c>
    </row>
    <row r="35" spans="1:10" x14ac:dyDescent="0.3">
      <c r="A35" s="23" t="s">
        <v>90</v>
      </c>
      <c r="B35" s="23" t="s">
        <v>91</v>
      </c>
      <c r="C35" s="23" t="s">
        <v>92</v>
      </c>
      <c r="D35" s="23">
        <v>100</v>
      </c>
      <c r="E35" s="23">
        <v>20</v>
      </c>
      <c r="F35" s="23" t="s">
        <v>53</v>
      </c>
      <c r="G35" s="5" t="str">
        <f>IF(brand_Data[[#This Row],[Price ($)]]&gt;=500,"High Price","Standard Price")</f>
        <v>Standard Price</v>
      </c>
      <c r="H35" s="5" t="str">
        <f>LEFT(brand_Data[[#This Row],[Product ID]],2)</f>
        <v>09</v>
      </c>
      <c r="I35" s="5" t="str">
        <f>RIGHT(brand_Data[[#This Row],[Product ID]],2)</f>
        <v>FR</v>
      </c>
      <c r="J35" s="5" t="str">
        <f>MID(brand_Data[[#This Row],[Product ID]],4,3)</f>
        <v>JUL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3029-227B-4C23-BB54-128D76F27073}">
  <dimension ref="A1:B36"/>
  <sheetViews>
    <sheetView topLeftCell="A8" workbookViewId="0">
      <selection activeCell="B20" sqref="B20"/>
    </sheetView>
  </sheetViews>
  <sheetFormatPr defaultColWidth="9.21875" defaultRowHeight="14.4" x14ac:dyDescent="0.3"/>
  <cols>
    <col min="1" max="1" width="76.21875" bestFit="1" customWidth="1"/>
    <col min="2" max="2" width="21" style="3" customWidth="1"/>
  </cols>
  <sheetData>
    <row r="1" spans="1:2" s="20" customFormat="1" x14ac:dyDescent="0.3">
      <c r="A1" s="20" t="s">
        <v>115</v>
      </c>
    </row>
    <row r="2" spans="1:2" s="20" customFormat="1" x14ac:dyDescent="0.3"/>
    <row r="4" spans="1:2" ht="14.4" customHeight="1" x14ac:dyDescent="0.3">
      <c r="A4" s="21" t="s">
        <v>93</v>
      </c>
      <c r="B4" s="18" t="s">
        <v>116</v>
      </c>
    </row>
    <row r="5" spans="1:2" ht="14.4" customHeight="1" x14ac:dyDescent="0.3">
      <c r="A5" s="21"/>
      <c r="B5" s="19"/>
    </row>
    <row r="6" spans="1:2" x14ac:dyDescent="0.3">
      <c r="A6" s="1" t="s">
        <v>94</v>
      </c>
      <c r="B6" s="4">
        <f>SUM(brand_Data[Price ($)])</f>
        <v>10100</v>
      </c>
    </row>
    <row r="7" spans="1:2" x14ac:dyDescent="0.3">
      <c r="A7" s="1" t="s">
        <v>95</v>
      </c>
      <c r="B7" s="2">
        <f>COUNTA(brand_Data[Product Name])</f>
        <v>34</v>
      </c>
    </row>
    <row r="8" spans="1:2" x14ac:dyDescent="0.3">
      <c r="A8" s="1" t="s">
        <v>96</v>
      </c>
      <c r="B8" s="2">
        <f>AVERAGE(brand_Data[Price ($)])</f>
        <v>297.05882352941177</v>
      </c>
    </row>
    <row r="10" spans="1:2" ht="14.4" customHeight="1" x14ac:dyDescent="0.3">
      <c r="A10" s="21" t="s">
        <v>97</v>
      </c>
      <c r="B10" s="18" t="s">
        <v>116</v>
      </c>
    </row>
    <row r="11" spans="1:2" ht="14.4" customHeight="1" x14ac:dyDescent="0.3">
      <c r="A11" s="21"/>
      <c r="B11" s="19"/>
    </row>
    <row r="12" spans="1:2" x14ac:dyDescent="0.3">
      <c r="A12" s="1" t="s">
        <v>98</v>
      </c>
      <c r="B12" s="2">
        <f>MIN(brand_Data[Price ($)])</f>
        <v>30</v>
      </c>
    </row>
    <row r="13" spans="1:2" x14ac:dyDescent="0.3">
      <c r="A13" s="1" t="s">
        <v>99</v>
      </c>
      <c r="B13" s="2">
        <f>MAX(brand_Data[Price ($)])</f>
        <v>1000</v>
      </c>
    </row>
    <row r="15" spans="1:2" ht="14.4" customHeight="1" x14ac:dyDescent="0.3">
      <c r="A15" s="21" t="s">
        <v>100</v>
      </c>
      <c r="B15" s="18" t="s">
        <v>116</v>
      </c>
    </row>
    <row r="16" spans="1:2" ht="14.4" customHeight="1" x14ac:dyDescent="0.3">
      <c r="A16" s="21"/>
      <c r="B16" s="19"/>
    </row>
    <row r="17" spans="1:2" x14ac:dyDescent="0.3">
      <c r="A17" s="1" t="s">
        <v>101</v>
      </c>
      <c r="B17" s="2" t="s">
        <v>118</v>
      </c>
    </row>
    <row r="18" spans="1:2" x14ac:dyDescent="0.3">
      <c r="A18" s="1" t="s">
        <v>102</v>
      </c>
      <c r="B18" s="2" t="s">
        <v>118</v>
      </c>
    </row>
    <row r="19" spans="1:2" x14ac:dyDescent="0.3">
      <c r="A19" s="1" t="s">
        <v>103</v>
      </c>
      <c r="B19" s="2" t="s">
        <v>118</v>
      </c>
    </row>
    <row r="20" spans="1:2" x14ac:dyDescent="0.3">
      <c r="A20" s="1" t="s">
        <v>104</v>
      </c>
      <c r="B20" s="2" t="s">
        <v>118</v>
      </c>
    </row>
    <row r="22" spans="1:2" ht="14.4" customHeight="1" x14ac:dyDescent="0.3">
      <c r="A22" s="21" t="s">
        <v>105</v>
      </c>
      <c r="B22" s="18" t="s">
        <v>116</v>
      </c>
    </row>
    <row r="23" spans="1:2" ht="14.4" customHeight="1" x14ac:dyDescent="0.3">
      <c r="A23" s="21"/>
      <c r="B23" s="19"/>
    </row>
    <row r="24" spans="1:2" x14ac:dyDescent="0.3">
      <c r="A24" s="1" t="s">
        <v>119</v>
      </c>
      <c r="B24" s="2">
        <f>SUMIF(brand_Data[Category],"Electronics",brand_Data[Price ($)])</f>
        <v>8050</v>
      </c>
    </row>
    <row r="25" spans="1:2" x14ac:dyDescent="0.3">
      <c r="A25" s="1" t="s">
        <v>120</v>
      </c>
      <c r="B25" s="2">
        <f>COUNTIF(brand_Data[Price ($)],"&lt;100")</f>
        <v>11</v>
      </c>
    </row>
    <row r="27" spans="1:2" ht="14.4" customHeight="1" x14ac:dyDescent="0.3">
      <c r="A27" s="21" t="s">
        <v>106</v>
      </c>
      <c r="B27" s="18" t="s">
        <v>116</v>
      </c>
    </row>
    <row r="28" spans="1:2" ht="14.4" customHeight="1" x14ac:dyDescent="0.3">
      <c r="A28" s="21"/>
      <c r="B28" s="19"/>
    </row>
    <row r="29" spans="1:2" x14ac:dyDescent="0.3">
      <c r="A29" s="1" t="s">
        <v>107</v>
      </c>
      <c r="B29" s="2" t="s">
        <v>118</v>
      </c>
    </row>
    <row r="30" spans="1:2" x14ac:dyDescent="0.3">
      <c r="A30" s="1" t="s">
        <v>108</v>
      </c>
      <c r="B30" s="2" t="s">
        <v>118</v>
      </c>
    </row>
    <row r="31" spans="1:2" x14ac:dyDescent="0.3">
      <c r="A31" s="1" t="s">
        <v>109</v>
      </c>
      <c r="B31" s="2" t="s">
        <v>118</v>
      </c>
    </row>
    <row r="32" spans="1:2" x14ac:dyDescent="0.3">
      <c r="A32" s="1" t="s">
        <v>110</v>
      </c>
      <c r="B32" s="2" t="s">
        <v>118</v>
      </c>
    </row>
    <row r="33" spans="1:2" x14ac:dyDescent="0.3">
      <c r="A33" s="1" t="s">
        <v>111</v>
      </c>
      <c r="B33" s="2" t="s">
        <v>118</v>
      </c>
    </row>
    <row r="34" spans="1:2" x14ac:dyDescent="0.3">
      <c r="A34" s="1" t="s">
        <v>112</v>
      </c>
      <c r="B34" s="2" t="s">
        <v>118</v>
      </c>
    </row>
    <row r="35" spans="1:2" x14ac:dyDescent="0.3">
      <c r="A35" s="1" t="s">
        <v>113</v>
      </c>
      <c r="B35" s="2" t="s">
        <v>118</v>
      </c>
    </row>
    <row r="36" spans="1:2" x14ac:dyDescent="0.3">
      <c r="A36" s="1" t="s">
        <v>114</v>
      </c>
      <c r="B36" s="2" t="s">
        <v>118</v>
      </c>
    </row>
  </sheetData>
  <mergeCells count="11">
    <mergeCell ref="B27:B28"/>
    <mergeCell ref="A1:XFD2"/>
    <mergeCell ref="A4:A5"/>
    <mergeCell ref="A10:A11"/>
    <mergeCell ref="A15:A16"/>
    <mergeCell ref="A22:A23"/>
    <mergeCell ref="A27:A28"/>
    <mergeCell ref="B4:B5"/>
    <mergeCell ref="B10:B11"/>
    <mergeCell ref="B15:B16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A1D6-B37D-4DC7-8B7B-FBF596A7217D}">
  <sheetPr>
    <tabColor rgb="FF4472C4"/>
  </sheetPr>
  <dimension ref="A1:E54"/>
  <sheetViews>
    <sheetView workbookViewId="0">
      <selection activeCell="C48" sqref="C48"/>
    </sheetView>
  </sheetViews>
  <sheetFormatPr defaultRowHeight="14.4" x14ac:dyDescent="0.3"/>
  <cols>
    <col min="1" max="1" width="15.88671875" style="11" customWidth="1"/>
    <col min="2" max="2" width="35.5546875" style="11" bestFit="1" customWidth="1"/>
    <col min="3" max="3" width="61.109375" style="11" customWidth="1"/>
    <col min="4" max="4" width="14.21875" style="11" bestFit="1" customWidth="1"/>
    <col min="5" max="5" width="17.5546875" style="11" customWidth="1"/>
    <col min="6" max="16384" width="8.88671875" style="11"/>
  </cols>
  <sheetData>
    <row r="1" spans="1:5" ht="45" customHeight="1" x14ac:dyDescent="0.4">
      <c r="A1" s="15" t="s">
        <v>165</v>
      </c>
      <c r="B1" s="15"/>
      <c r="C1" s="15"/>
      <c r="D1" s="15"/>
      <c r="E1" s="10"/>
    </row>
    <row r="2" spans="1:5" x14ac:dyDescent="0.3">
      <c r="A2" s="16" t="s">
        <v>124</v>
      </c>
      <c r="B2" s="16"/>
      <c r="C2" s="16"/>
      <c r="D2" s="16"/>
      <c r="E2" s="10"/>
    </row>
    <row r="3" spans="1:5" x14ac:dyDescent="0.3">
      <c r="A3" s="10"/>
      <c r="B3" s="10"/>
      <c r="C3" s="10"/>
      <c r="D3" s="10"/>
      <c r="E3" s="10"/>
    </row>
    <row r="4" spans="1:5" x14ac:dyDescent="0.3">
      <c r="A4" s="17" t="s">
        <v>125</v>
      </c>
      <c r="B4" s="17"/>
      <c r="C4" s="17"/>
      <c r="D4" s="17"/>
      <c r="E4" s="10"/>
    </row>
    <row r="5" spans="1:5" x14ac:dyDescent="0.3">
      <c r="A5" s="12" t="s">
        <v>126</v>
      </c>
      <c r="B5" s="12" t="s">
        <v>127</v>
      </c>
      <c r="C5" s="12" t="s">
        <v>128</v>
      </c>
      <c r="D5" s="12" t="s">
        <v>129</v>
      </c>
      <c r="E5" s="10"/>
    </row>
    <row r="6" spans="1:5" x14ac:dyDescent="0.3">
      <c r="A6" s="13" t="s">
        <v>130</v>
      </c>
      <c r="B6" s="9" t="s">
        <v>131</v>
      </c>
      <c r="C6" s="9" t="s">
        <v>132</v>
      </c>
      <c r="D6" s="13">
        <f>Task!B6</f>
        <v>10100</v>
      </c>
      <c r="E6" s="10"/>
    </row>
    <row r="7" spans="1:5" x14ac:dyDescent="0.3">
      <c r="A7" s="13" t="s">
        <v>133</v>
      </c>
      <c r="B7" s="9" t="s">
        <v>134</v>
      </c>
      <c r="C7" s="9" t="s">
        <v>135</v>
      </c>
      <c r="D7" s="14">
        <f>Task!B7</f>
        <v>34</v>
      </c>
      <c r="E7" s="10"/>
    </row>
    <row r="8" spans="1:5" x14ac:dyDescent="0.3">
      <c r="A8" s="13" t="s">
        <v>136</v>
      </c>
      <c r="B8" s="9" t="s">
        <v>137</v>
      </c>
      <c r="C8" s="9" t="s">
        <v>138</v>
      </c>
      <c r="D8" s="14">
        <f>Task!B8</f>
        <v>297.05882352941177</v>
      </c>
      <c r="E8" s="10"/>
    </row>
    <row r="9" spans="1:5" x14ac:dyDescent="0.3">
      <c r="A9" s="13" t="s">
        <v>139</v>
      </c>
      <c r="B9" s="9" t="s">
        <v>140</v>
      </c>
      <c r="C9" s="9" t="s">
        <v>141</v>
      </c>
      <c r="D9" s="14">
        <f>Task!B12</f>
        <v>30</v>
      </c>
      <c r="E9" s="10"/>
    </row>
    <row r="10" spans="1:5" x14ac:dyDescent="0.3">
      <c r="A10" s="13" t="s">
        <v>142</v>
      </c>
      <c r="B10" s="9" t="s">
        <v>143</v>
      </c>
      <c r="C10" s="9" t="s">
        <v>144</v>
      </c>
      <c r="D10" s="14">
        <f>Task!B13</f>
        <v>1000</v>
      </c>
      <c r="E10" s="10"/>
    </row>
    <row r="11" spans="1:5" x14ac:dyDescent="0.3">
      <c r="A11" s="13" t="s">
        <v>145</v>
      </c>
      <c r="B11" s="9" t="s">
        <v>146</v>
      </c>
      <c r="C11" s="9" t="s">
        <v>147</v>
      </c>
      <c r="D11" s="13" t="str">
        <f>Data!G2</f>
        <v>High Price</v>
      </c>
      <c r="E11" s="10"/>
    </row>
    <row r="12" spans="1:5" x14ac:dyDescent="0.3">
      <c r="A12" s="13" t="s">
        <v>148</v>
      </c>
      <c r="B12" s="9" t="s">
        <v>149</v>
      </c>
      <c r="C12" s="9" t="s">
        <v>150</v>
      </c>
      <c r="D12" s="14">
        <f>Task!B24</f>
        <v>8050</v>
      </c>
      <c r="E12" s="10"/>
    </row>
    <row r="13" spans="1:5" x14ac:dyDescent="0.3">
      <c r="A13" s="13" t="s">
        <v>151</v>
      </c>
      <c r="B13" s="9" t="s">
        <v>152</v>
      </c>
      <c r="C13" s="9" t="s">
        <v>153</v>
      </c>
      <c r="D13" s="14">
        <f>Task!B25</f>
        <v>11</v>
      </c>
      <c r="E13" s="10"/>
    </row>
    <row r="14" spans="1:5" x14ac:dyDescent="0.3">
      <c r="A14" s="13" t="s">
        <v>154</v>
      </c>
      <c r="B14" s="9" t="s">
        <v>155</v>
      </c>
      <c r="C14" s="9" t="s">
        <v>156</v>
      </c>
      <c r="D14" s="13" t="str">
        <f>Data!H2</f>
        <v>28</v>
      </c>
      <c r="E14" s="10"/>
    </row>
    <row r="15" spans="1:5" x14ac:dyDescent="0.3">
      <c r="A15" s="13" t="s">
        <v>157</v>
      </c>
      <c r="B15" s="13" t="s">
        <v>158</v>
      </c>
      <c r="C15" s="9" t="s">
        <v>159</v>
      </c>
      <c r="D15" s="13" t="str">
        <f>Data!I2</f>
        <v>US</v>
      </c>
      <c r="E15" s="10"/>
    </row>
    <row r="16" spans="1:5" x14ac:dyDescent="0.3">
      <c r="A16" s="13" t="s">
        <v>160</v>
      </c>
      <c r="B16" s="9" t="s">
        <v>161</v>
      </c>
      <c r="C16" s="9" t="s">
        <v>162</v>
      </c>
      <c r="D16" s="13" t="str">
        <f>Data!J2</f>
        <v>JAN</v>
      </c>
      <c r="E16" s="10"/>
    </row>
    <row r="17" spans="1:5" x14ac:dyDescent="0.3">
      <c r="A17" s="10"/>
      <c r="B17" s="10"/>
      <c r="C17" s="10"/>
      <c r="D17" s="10"/>
      <c r="E17" s="10"/>
    </row>
    <row r="18" spans="1:5" x14ac:dyDescent="0.3">
      <c r="A18" s="10"/>
      <c r="B18" s="10"/>
      <c r="C18" s="10"/>
      <c r="D18" s="10"/>
      <c r="E18" s="10"/>
    </row>
    <row r="19" spans="1:5" x14ac:dyDescent="0.3">
      <c r="A19" s="17" t="s">
        <v>163</v>
      </c>
      <c r="B19" s="17"/>
      <c r="C19" s="17"/>
      <c r="D19" s="17"/>
      <c r="E19" s="17"/>
    </row>
    <row r="20" spans="1:5" x14ac:dyDescent="0.3">
      <c r="A20" s="12" t="s">
        <v>0</v>
      </c>
      <c r="B20" s="12" t="s">
        <v>117</v>
      </c>
      <c r="C20" s="12" t="s">
        <v>121</v>
      </c>
      <c r="D20" s="12" t="s">
        <v>164</v>
      </c>
      <c r="E20" s="12" t="s">
        <v>123</v>
      </c>
    </row>
    <row r="21" spans="1:5" x14ac:dyDescent="0.3">
      <c r="A21" s="13" t="str">
        <f>Data!A2</f>
        <v>28-JAN-US</v>
      </c>
      <c r="B21" s="13" t="str">
        <f>Data!G2</f>
        <v>High Price</v>
      </c>
      <c r="C21" s="13" t="str">
        <f>Data!H2</f>
        <v>28</v>
      </c>
      <c r="D21" s="13" t="str">
        <f>Data!I2</f>
        <v>US</v>
      </c>
      <c r="E21" s="13" t="str">
        <f>Data!J2</f>
        <v>JAN</v>
      </c>
    </row>
    <row r="22" spans="1:5" x14ac:dyDescent="0.3">
      <c r="A22" s="13" t="str">
        <f>Data!A3</f>
        <v>15-FEB-US</v>
      </c>
      <c r="B22" s="13" t="str">
        <f>Data!G3</f>
        <v>Standard Price</v>
      </c>
      <c r="C22" s="13" t="str">
        <f>Data!H3</f>
        <v>15</v>
      </c>
      <c r="D22" s="13" t="str">
        <f>Data!I3</f>
        <v>US</v>
      </c>
      <c r="E22" s="13" t="str">
        <f>Data!J3</f>
        <v>FEB</v>
      </c>
    </row>
    <row r="23" spans="1:5" x14ac:dyDescent="0.3">
      <c r="A23" s="13" t="str">
        <f>Data!A4</f>
        <v>03-MAR-US</v>
      </c>
      <c r="B23" s="13" t="str">
        <f>Data!G4</f>
        <v>Standard Price</v>
      </c>
      <c r="C23" s="13" t="str">
        <f>Data!H4</f>
        <v>03</v>
      </c>
      <c r="D23" s="13" t="str">
        <f>Data!I4</f>
        <v>US</v>
      </c>
      <c r="E23" s="13" t="str">
        <f>Data!J4</f>
        <v>MAR</v>
      </c>
    </row>
    <row r="24" spans="1:5" x14ac:dyDescent="0.3">
      <c r="A24" s="13" t="str">
        <f>Data!A5</f>
        <v>11-APR-US</v>
      </c>
      <c r="B24" s="13" t="str">
        <f>Data!G5</f>
        <v>High Price</v>
      </c>
      <c r="C24" s="13" t="str">
        <f>Data!H5</f>
        <v>11</v>
      </c>
      <c r="D24" s="13" t="str">
        <f>Data!I5</f>
        <v>US</v>
      </c>
      <c r="E24" s="13" t="str">
        <f>Data!J5</f>
        <v>APR</v>
      </c>
    </row>
    <row r="25" spans="1:5" x14ac:dyDescent="0.3">
      <c r="A25" s="13" t="str">
        <f>Data!A6</f>
        <v>22-MAY-US</v>
      </c>
      <c r="B25" s="13" t="str">
        <f>Data!G6</f>
        <v>Standard Price</v>
      </c>
      <c r="C25" s="13" t="str">
        <f>Data!H6</f>
        <v>22</v>
      </c>
      <c r="D25" s="13" t="str">
        <f>Data!I6</f>
        <v>US</v>
      </c>
      <c r="E25" s="13" t="str">
        <f>Data!J6</f>
        <v>MAY</v>
      </c>
    </row>
    <row r="26" spans="1:5" x14ac:dyDescent="0.3">
      <c r="A26" s="13" t="str">
        <f>Data!A7</f>
        <v>07-JUN-UK</v>
      </c>
      <c r="B26" s="13" t="str">
        <f>Data!G7</f>
        <v>Standard Price</v>
      </c>
      <c r="C26" s="13" t="str">
        <f>Data!H7</f>
        <v>07</v>
      </c>
      <c r="D26" s="13" t="str">
        <f>Data!I7</f>
        <v>UK</v>
      </c>
      <c r="E26" s="13" t="str">
        <f>Data!J7</f>
        <v>JUN</v>
      </c>
    </row>
    <row r="27" spans="1:5" x14ac:dyDescent="0.3">
      <c r="A27" s="13" t="str">
        <f>Data!A8</f>
        <v>19-JUL-UK</v>
      </c>
      <c r="B27" s="13" t="str">
        <f>Data!G8</f>
        <v>Standard Price</v>
      </c>
      <c r="C27" s="13" t="str">
        <f>Data!H8</f>
        <v>19</v>
      </c>
      <c r="D27" s="13" t="str">
        <f>Data!I8</f>
        <v>UK</v>
      </c>
      <c r="E27" s="13" t="str">
        <f>Data!J8</f>
        <v>JUL</v>
      </c>
    </row>
    <row r="28" spans="1:5" x14ac:dyDescent="0.3">
      <c r="A28" s="13" t="str">
        <f>Data!A9</f>
        <v>23-AUG-UK</v>
      </c>
      <c r="B28" s="13" t="str">
        <f>Data!G9</f>
        <v>Standard Price</v>
      </c>
      <c r="C28" s="13" t="str">
        <f>Data!H9</f>
        <v>23</v>
      </c>
      <c r="D28" s="13" t="str">
        <f>Data!I9</f>
        <v>UK</v>
      </c>
      <c r="E28" s="13" t="str">
        <f>Data!J9</f>
        <v>AUG</v>
      </c>
    </row>
    <row r="29" spans="1:5" x14ac:dyDescent="0.3">
      <c r="A29" s="13" t="str">
        <f>Data!A10</f>
        <v>05-SEP-UK</v>
      </c>
      <c r="B29" s="13" t="str">
        <f>Data!G10</f>
        <v>High Price</v>
      </c>
      <c r="C29" s="13" t="str">
        <f>Data!H10</f>
        <v>05</v>
      </c>
      <c r="D29" s="13" t="str">
        <f>Data!I10</f>
        <v>UK</v>
      </c>
      <c r="E29" s="13" t="str">
        <f>Data!J10</f>
        <v>SEP</v>
      </c>
    </row>
    <row r="30" spans="1:5" x14ac:dyDescent="0.3">
      <c r="A30" s="13" t="str">
        <f>Data!A11</f>
        <v>14-OCT-UK</v>
      </c>
      <c r="B30" s="13" t="str">
        <f>Data!G11</f>
        <v>Standard Price</v>
      </c>
      <c r="C30" s="13" t="str">
        <f>Data!H11</f>
        <v>14</v>
      </c>
      <c r="D30" s="13" t="str">
        <f>Data!I11</f>
        <v>UK</v>
      </c>
      <c r="E30" s="13" t="str">
        <f>Data!J11</f>
        <v>OCT</v>
      </c>
    </row>
    <row r="31" spans="1:5" x14ac:dyDescent="0.3">
      <c r="A31" s="13" t="str">
        <f>Data!A12</f>
        <v>17-JUN-IN</v>
      </c>
      <c r="B31" s="13" t="str">
        <f>Data!G12</f>
        <v>High Price</v>
      </c>
      <c r="C31" s="13" t="str">
        <f>Data!H12</f>
        <v>17</v>
      </c>
      <c r="D31" s="13" t="str">
        <f>Data!I12</f>
        <v>IN</v>
      </c>
      <c r="E31" s="13" t="str">
        <f>Data!J12</f>
        <v>JUN</v>
      </c>
    </row>
    <row r="32" spans="1:5" x14ac:dyDescent="0.3">
      <c r="A32" s="13" t="str">
        <f>Data!A13</f>
        <v>25-NOV-AU</v>
      </c>
      <c r="B32" s="13" t="str">
        <f>Data!G13</f>
        <v>Standard Price</v>
      </c>
      <c r="C32" s="13" t="str">
        <f>Data!H13</f>
        <v>25</v>
      </c>
      <c r="D32" s="13" t="str">
        <f>Data!I13</f>
        <v>AU</v>
      </c>
      <c r="E32" s="13" t="str">
        <f>Data!J13</f>
        <v>NOV</v>
      </c>
    </row>
    <row r="33" spans="1:5" x14ac:dyDescent="0.3">
      <c r="A33" s="13" t="str">
        <f>Data!A14</f>
        <v>08-DEC-DE</v>
      </c>
      <c r="B33" s="13" t="str">
        <f>Data!G14</f>
        <v>Standard Price</v>
      </c>
      <c r="C33" s="13" t="str">
        <f>Data!H14</f>
        <v>08</v>
      </c>
      <c r="D33" s="13" t="str">
        <f>Data!I14</f>
        <v>DE</v>
      </c>
      <c r="E33" s="13" t="str">
        <f>Data!J14</f>
        <v>DEC</v>
      </c>
    </row>
    <row r="34" spans="1:5" x14ac:dyDescent="0.3">
      <c r="A34" s="13" t="str">
        <f>Data!A15</f>
        <v>18-FEB-CA</v>
      </c>
      <c r="B34" s="13" t="str">
        <f>Data!G15</f>
        <v>Standard Price</v>
      </c>
      <c r="C34" s="13" t="str">
        <f>Data!H15</f>
        <v>18</v>
      </c>
      <c r="D34" s="13" t="str">
        <f>Data!I15</f>
        <v>CA</v>
      </c>
      <c r="E34" s="13" t="str">
        <f>Data!J15</f>
        <v>FEB</v>
      </c>
    </row>
    <row r="35" spans="1:5" x14ac:dyDescent="0.3">
      <c r="A35" s="13" t="str">
        <f>Data!A16</f>
        <v>16-APR-ES</v>
      </c>
      <c r="B35" s="13" t="str">
        <f>Data!G16</f>
        <v>Standard Price</v>
      </c>
      <c r="C35" s="13" t="str">
        <f>Data!H16</f>
        <v>16</v>
      </c>
      <c r="D35" s="13" t="str">
        <f>Data!I16</f>
        <v>ES</v>
      </c>
      <c r="E35" s="13" t="str">
        <f>Data!J16</f>
        <v>APR</v>
      </c>
    </row>
    <row r="36" spans="1:5" x14ac:dyDescent="0.3">
      <c r="A36" s="13" t="str">
        <f>Data!A17</f>
        <v>21-AUG-CA</v>
      </c>
      <c r="B36" s="13" t="str">
        <f>Data!G17</f>
        <v>Standard Price</v>
      </c>
      <c r="C36" s="13" t="str">
        <f>Data!H17</f>
        <v>21</v>
      </c>
      <c r="D36" s="13" t="str">
        <f>Data!I17</f>
        <v>CA</v>
      </c>
      <c r="E36" s="13" t="str">
        <f>Data!J17</f>
        <v>AUG</v>
      </c>
    </row>
    <row r="37" spans="1:5" x14ac:dyDescent="0.3">
      <c r="A37" s="13" t="str">
        <f>Data!A18</f>
        <v>20-AUG-CN</v>
      </c>
      <c r="B37" s="13" t="str">
        <f>Data!G18</f>
        <v>Standard Price</v>
      </c>
      <c r="C37" s="13" t="str">
        <f>Data!H18</f>
        <v>20</v>
      </c>
      <c r="D37" s="13" t="str">
        <f>Data!I18</f>
        <v>CN</v>
      </c>
      <c r="E37" s="13" t="str">
        <f>Data!J18</f>
        <v>AUG</v>
      </c>
    </row>
    <row r="38" spans="1:5" x14ac:dyDescent="0.3">
      <c r="A38" s="13" t="str">
        <f>Data!A19</f>
        <v>27-JAN-IT</v>
      </c>
      <c r="B38" s="13" t="str">
        <f>Data!G19</f>
        <v>High Price</v>
      </c>
      <c r="C38" s="13" t="str">
        <f>Data!H19</f>
        <v>27</v>
      </c>
      <c r="D38" s="13" t="str">
        <f>Data!I19</f>
        <v>IT</v>
      </c>
      <c r="E38" s="13" t="str">
        <f>Data!J19</f>
        <v>JAN</v>
      </c>
    </row>
    <row r="39" spans="1:5" x14ac:dyDescent="0.3">
      <c r="A39" s="13" t="str">
        <f>Data!A20</f>
        <v>01-MAR-UK</v>
      </c>
      <c r="B39" s="13" t="str">
        <f>Data!G20</f>
        <v>Standard Price</v>
      </c>
      <c r="C39" s="13" t="str">
        <f>Data!H20</f>
        <v>01</v>
      </c>
      <c r="D39" s="13" t="str">
        <f>Data!I20</f>
        <v>UK</v>
      </c>
      <c r="E39" s="13" t="str">
        <f>Data!J20</f>
        <v>MAR</v>
      </c>
    </row>
    <row r="40" spans="1:5" x14ac:dyDescent="0.3">
      <c r="A40" s="13" t="str">
        <f>Data!A21</f>
        <v>14-AUG-US</v>
      </c>
      <c r="B40" s="13" t="str">
        <f>Data!G21</f>
        <v>Standard Price</v>
      </c>
      <c r="C40" s="13" t="str">
        <f>Data!H21</f>
        <v>14</v>
      </c>
      <c r="D40" s="13" t="str">
        <f>Data!I21</f>
        <v>US</v>
      </c>
      <c r="E40" s="13" t="str">
        <f>Data!J21</f>
        <v>AUG</v>
      </c>
    </row>
    <row r="41" spans="1:5" x14ac:dyDescent="0.3">
      <c r="A41" s="13" t="str">
        <f>Data!A22</f>
        <v>14-MAY-RU</v>
      </c>
      <c r="B41" s="13" t="str">
        <f>Data!G22</f>
        <v>High Price</v>
      </c>
      <c r="C41" s="13" t="str">
        <f>Data!H22</f>
        <v>14</v>
      </c>
      <c r="D41" s="13" t="str">
        <f>Data!I22</f>
        <v>RU</v>
      </c>
      <c r="E41" s="13" t="str">
        <f>Data!J22</f>
        <v>MAY</v>
      </c>
    </row>
    <row r="42" spans="1:5" x14ac:dyDescent="0.3">
      <c r="A42" s="13" t="str">
        <f>Data!A23</f>
        <v>09-JAN-CA</v>
      </c>
      <c r="B42" s="13" t="str">
        <f>Data!G23</f>
        <v>Standard Price</v>
      </c>
      <c r="C42" s="13" t="str">
        <f>Data!H23</f>
        <v>09</v>
      </c>
      <c r="D42" s="13" t="str">
        <f>Data!I23</f>
        <v>CA</v>
      </c>
      <c r="E42" s="13" t="str">
        <f>Data!J23</f>
        <v>JAN</v>
      </c>
    </row>
    <row r="43" spans="1:5" x14ac:dyDescent="0.3">
      <c r="A43" s="13" t="str">
        <f>Data!A24</f>
        <v>19-JUL-BR</v>
      </c>
      <c r="B43" s="13" t="str">
        <f>Data!G24</f>
        <v>Standard Price</v>
      </c>
      <c r="C43" s="13" t="str">
        <f>Data!H24</f>
        <v>19</v>
      </c>
      <c r="D43" s="13" t="str">
        <f>Data!I24</f>
        <v>BR</v>
      </c>
      <c r="E43" s="13" t="str">
        <f>Data!J24</f>
        <v>JUL</v>
      </c>
    </row>
    <row r="44" spans="1:5" x14ac:dyDescent="0.3">
      <c r="A44" s="13" t="str">
        <f>Data!A25</f>
        <v>21-AUG-CA</v>
      </c>
      <c r="B44" s="13" t="str">
        <f>Data!G25</f>
        <v>Standard Price</v>
      </c>
      <c r="C44" s="13" t="str">
        <f>Data!H25</f>
        <v>21</v>
      </c>
      <c r="D44" s="13" t="str">
        <f>Data!I25</f>
        <v>CA</v>
      </c>
      <c r="E44" s="13" t="str">
        <f>Data!J25</f>
        <v>AUG</v>
      </c>
    </row>
    <row r="45" spans="1:5" x14ac:dyDescent="0.3">
      <c r="A45" s="13" t="str">
        <f>Data!A26</f>
        <v>29-SEP-CA</v>
      </c>
      <c r="B45" s="13" t="str">
        <f>Data!G26</f>
        <v>High Price</v>
      </c>
      <c r="C45" s="13" t="str">
        <f>Data!H26</f>
        <v>29</v>
      </c>
      <c r="D45" s="13" t="str">
        <f>Data!I26</f>
        <v>CA</v>
      </c>
      <c r="E45" s="13" t="str">
        <f>Data!J26</f>
        <v>SEP</v>
      </c>
    </row>
    <row r="46" spans="1:5" x14ac:dyDescent="0.3">
      <c r="A46" s="13" t="str">
        <f>Data!A27</f>
        <v>03-JUN-CA</v>
      </c>
      <c r="B46" s="13" t="str">
        <f>Data!G27</f>
        <v>Standard Price</v>
      </c>
      <c r="C46" s="13" t="str">
        <f>Data!H27</f>
        <v>03</v>
      </c>
      <c r="D46" s="13" t="str">
        <f>Data!I27</f>
        <v>CA</v>
      </c>
      <c r="E46" s="13" t="str">
        <f>Data!J27</f>
        <v>JUN</v>
      </c>
    </row>
    <row r="47" spans="1:5" x14ac:dyDescent="0.3">
      <c r="A47" s="13" t="str">
        <f>Data!A28</f>
        <v>11-JUL-CA</v>
      </c>
      <c r="B47" s="13" t="str">
        <f>Data!G28</f>
        <v>Standard Price</v>
      </c>
      <c r="C47" s="13" t="str">
        <f>Data!H28</f>
        <v>11</v>
      </c>
      <c r="D47" s="13" t="str">
        <f>Data!I28</f>
        <v>CA</v>
      </c>
      <c r="E47" s="13" t="str">
        <f>Data!J28</f>
        <v>JUL</v>
      </c>
    </row>
    <row r="48" spans="1:5" x14ac:dyDescent="0.3">
      <c r="A48" s="13" t="str">
        <f>Data!A29</f>
        <v>16-APR-ES</v>
      </c>
      <c r="B48" s="13" t="str">
        <f>Data!G29</f>
        <v>Standard Price</v>
      </c>
      <c r="C48" s="13" t="str">
        <f>Data!H29</f>
        <v>16</v>
      </c>
      <c r="D48" s="13" t="str">
        <f>Data!I29</f>
        <v>ES</v>
      </c>
      <c r="E48" s="13" t="str">
        <f>Data!J29</f>
        <v>APR</v>
      </c>
    </row>
    <row r="49" spans="1:5" x14ac:dyDescent="0.3">
      <c r="A49" s="13" t="str">
        <f>Data!A30</f>
        <v>07-MAR-CA</v>
      </c>
      <c r="B49" s="13" t="str">
        <f>Data!G30</f>
        <v>Standard Price</v>
      </c>
      <c r="C49" s="13" t="str">
        <f>Data!H30</f>
        <v>07</v>
      </c>
      <c r="D49" s="13" t="str">
        <f>Data!I30</f>
        <v>CA</v>
      </c>
      <c r="E49" s="13" t="str">
        <f>Data!J30</f>
        <v>MAR</v>
      </c>
    </row>
    <row r="50" spans="1:5" x14ac:dyDescent="0.3">
      <c r="A50" s="13" t="str">
        <f>Data!A31</f>
        <v>13-APR-CA</v>
      </c>
      <c r="B50" s="13" t="str">
        <f>Data!G31</f>
        <v>Standard Price</v>
      </c>
      <c r="C50" s="13" t="str">
        <f>Data!H31</f>
        <v>13</v>
      </c>
      <c r="D50" s="13" t="str">
        <f>Data!I31</f>
        <v>CA</v>
      </c>
      <c r="E50" s="13" t="str">
        <f>Data!J31</f>
        <v>APR</v>
      </c>
    </row>
    <row r="51" spans="1:5" x14ac:dyDescent="0.3">
      <c r="A51" s="13" t="str">
        <f>Data!A32</f>
        <v>24-MAY-CA</v>
      </c>
      <c r="B51" s="13" t="str">
        <f>Data!G32</f>
        <v>Standard Price</v>
      </c>
      <c r="C51" s="13" t="str">
        <f>Data!H32</f>
        <v>24</v>
      </c>
      <c r="D51" s="13" t="str">
        <f>Data!I32</f>
        <v>CA</v>
      </c>
      <c r="E51" s="13" t="str">
        <f>Data!J32</f>
        <v>MAY</v>
      </c>
    </row>
    <row r="52" spans="1:5" x14ac:dyDescent="0.3">
      <c r="A52" s="13" t="str">
        <f>Data!A33</f>
        <v>02-DEC-CA</v>
      </c>
      <c r="B52" s="13" t="str">
        <f>Data!G33</f>
        <v>Standard Price</v>
      </c>
      <c r="C52" s="13" t="str">
        <f>Data!H33</f>
        <v>02</v>
      </c>
      <c r="D52" s="13" t="str">
        <f>Data!I33</f>
        <v>CA</v>
      </c>
      <c r="E52" s="13" t="str">
        <f>Data!J33</f>
        <v>DEC</v>
      </c>
    </row>
    <row r="53" spans="1:5" x14ac:dyDescent="0.3">
      <c r="A53" s="13" t="str">
        <f>Data!A34</f>
        <v>17-JUN-IN</v>
      </c>
      <c r="B53" s="13" t="str">
        <f>Data!G34</f>
        <v>High Price</v>
      </c>
      <c r="C53" s="13" t="str">
        <f>Data!H34</f>
        <v>17</v>
      </c>
      <c r="D53" s="13" t="str">
        <f>Data!I34</f>
        <v>IN</v>
      </c>
      <c r="E53" s="13" t="str">
        <f>Data!J34</f>
        <v>JUN</v>
      </c>
    </row>
    <row r="54" spans="1:5" x14ac:dyDescent="0.3">
      <c r="A54" s="13" t="str">
        <f>Data!A35</f>
        <v>09-JUL-FR</v>
      </c>
      <c r="B54" s="13" t="str">
        <f>Data!G35</f>
        <v>Standard Price</v>
      </c>
      <c r="C54" s="13" t="str">
        <f>Data!H35</f>
        <v>09</v>
      </c>
      <c r="D54" s="13" t="str">
        <f>Data!I35</f>
        <v>FR</v>
      </c>
      <c r="E54" s="13" t="str">
        <f>Data!J35</f>
        <v>JUL</v>
      </c>
    </row>
  </sheetData>
  <autoFilter ref="A5:D5" xr:uid="{F30EA1D6-B37D-4DC7-8B7B-FBF596A7217D}"/>
  <mergeCells count="4">
    <mergeCell ref="A1:D1"/>
    <mergeCell ref="A2:D2"/>
    <mergeCell ref="A4:D4"/>
    <mergeCell ref="A19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Task</vt:lpstr>
      <vt:lpstr>Formulas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Rasheed</dc:creator>
  <cp:lastModifiedBy>Abdul Rasheed</cp:lastModifiedBy>
  <cp:lastPrinted>2026-10-25T13:48:46Z</cp:lastPrinted>
  <dcterms:created xsi:type="dcterms:W3CDTF">2026-10-25T11:11:26Z</dcterms:created>
  <dcterms:modified xsi:type="dcterms:W3CDTF">2026-10-28T17:01:01Z</dcterms:modified>
</cp:coreProperties>
</file>